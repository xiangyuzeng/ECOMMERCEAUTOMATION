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分析" sheetId="1" state="visible" r:id="rId1"/>
    <sheet name="产品清单" sheetId="2" state="visible" r:id="rId2"/>
    <sheet name="词库整理" sheetId="3" state="visible" r:id="rId3"/>
    <sheet name="广告指标监测" sheetId="4" state="visible" r:id="rId4"/>
    <sheet name="定价策略" sheetId="5" state="visible" r:id="rId5"/>
    <sheet name="流量入口" sheetId="6" state="visible" r:id="rId6"/>
    <sheet name="关键词Gap分析" sheetId="7" state="visible" r:id="rId7"/>
    <sheet name="数据源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C3E50"/>
      <sz val="10"/>
    </font>
    <font>
      <name val="Arial"/>
      <color rgb="000000FF"/>
      <sz val="10"/>
    </font>
    <font>
      <name val="Arial"/>
      <b val="1"/>
      <color rgb="001F4E79"/>
      <sz val="12"/>
    </font>
    <font>
      <name val="Arial"/>
      <i val="1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165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指标</t>
        </is>
      </c>
      <c r="B1" s="1" t="inlineStr">
        <is>
          <t xml:space="preserve"> (我)</t>
        </is>
      </c>
    </row>
    <row r="2">
      <c r="A2" s="2" t="inlineStr">
        <is>
          <t>图片</t>
        </is>
      </c>
      <c r="B2" s="2" t="inlineStr">
        <is>
          <t>N/A</t>
        </is>
      </c>
    </row>
    <row r="3">
      <c r="A3" s="3" t="inlineStr">
        <is>
          <t>品牌</t>
        </is>
      </c>
      <c r="B3" s="3" t="inlineStr"/>
    </row>
    <row r="4">
      <c r="A4" s="2" t="inlineStr">
        <is>
          <t>ASIN</t>
        </is>
      </c>
      <c r="B4" s="2" t="inlineStr">
        <is>
          <t>B0014C3W6Y</t>
        </is>
      </c>
    </row>
    <row r="5">
      <c r="A5" s="3" t="inlineStr">
        <is>
          <t>价格</t>
        </is>
      </c>
      <c r="B5" s="3" t="inlineStr">
        <is>
          <t>N/A</t>
        </is>
      </c>
    </row>
    <row r="6">
      <c r="A6" s="2" t="inlineStr">
        <is>
          <t>排名</t>
        </is>
      </c>
      <c r="B6" s="2" t="inlineStr">
        <is>
          <t>N/A</t>
        </is>
      </c>
    </row>
    <row r="7">
      <c r="A7" s="3" t="inlineStr">
        <is>
          <t>标题</t>
        </is>
      </c>
      <c r="B7" s="3" t="inlineStr"/>
    </row>
    <row r="8">
      <c r="A8" s="2" t="inlineStr">
        <is>
          <t>前五核心流量词</t>
        </is>
      </c>
      <c r="B8" s="2" t="inlineStr">
        <is>
          <t>N/A</t>
        </is>
      </c>
    </row>
    <row r="9">
      <c r="A9" s="3" t="inlineStr">
        <is>
          <t>评论数</t>
        </is>
      </c>
      <c r="B9" s="3" t="n">
        <v>0</v>
      </c>
    </row>
    <row r="10">
      <c r="A10" s="2" t="inlineStr">
        <is>
          <t>月销量</t>
        </is>
      </c>
      <c r="B10" s="2" t="inlineStr">
        <is>
          <t>N/A</t>
        </is>
      </c>
    </row>
    <row r="11">
      <c r="A11" s="3" t="inlineStr">
        <is>
          <t>月销售额</t>
        </is>
      </c>
      <c r="B11" s="3" t="inlineStr">
        <is>
          <t>N/A</t>
        </is>
      </c>
    </row>
    <row r="12">
      <c r="A12" s="2" t="inlineStr">
        <is>
          <t>上架日期</t>
        </is>
      </c>
      <c r="B12" s="2" t="inlineStr">
        <is>
          <t>N/A</t>
        </is>
      </c>
    </row>
    <row r="13">
      <c r="A13" s="3" t="inlineStr">
        <is>
          <t>变体数</t>
        </is>
      </c>
      <c r="B13" s="3" t="inlineStr">
        <is>
          <t>N/A</t>
        </is>
      </c>
    </row>
    <row r="14">
      <c r="A14" s="2" t="inlineStr">
        <is>
          <t>FBA毛利率</t>
        </is>
      </c>
      <c r="B14" s="2" t="inlineStr">
        <is>
          <t>N/A</t>
        </is>
      </c>
    </row>
    <row r="15">
      <c r="A15" s="3" t="inlineStr">
        <is>
          <t>流量关键词数</t>
        </is>
      </c>
      <c r="B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成本项</t>
        </is>
      </c>
      <c r="B1" s="1" t="inlineStr">
        <is>
          <t>竞争价</t>
        </is>
      </c>
      <c r="C1" s="1" t="inlineStr">
        <is>
          <t>中间价</t>
        </is>
      </c>
      <c r="D1" s="1" t="inlineStr">
        <is>
          <t>优质价</t>
        </is>
      </c>
      <c r="E1" s="1" t="inlineStr">
        <is>
          <t>当前价</t>
        </is>
      </c>
    </row>
    <row r="2">
      <c r="A2" s="2" t="inlineStr">
        <is>
          <t>售价</t>
        </is>
      </c>
      <c r="B2" s="2" t="n">
        <v>45.99</v>
      </c>
      <c r="C2" s="2" t="n">
        <v>55.99</v>
      </c>
      <c r="D2" s="2" t="n">
        <v>65.98999999999999</v>
      </c>
      <c r="E2" s="2" t="n">
        <v>109.99</v>
      </c>
    </row>
    <row r="3">
      <c r="A3" s="3" t="inlineStr">
        <is>
          <t>成品成本</t>
        </is>
      </c>
      <c r="B3" s="3" t="n">
        <v>15</v>
      </c>
      <c r="C3" s="3" t="n">
        <v>15</v>
      </c>
      <c r="D3" s="3" t="n">
        <v>15</v>
      </c>
      <c r="E3" s="3" t="n">
        <v>15</v>
      </c>
    </row>
    <row r="4">
      <c r="A4" s="2" t="inlineStr">
        <is>
          <t>包装</t>
        </is>
      </c>
      <c r="B4" s="4" t="n">
        <v>0.7</v>
      </c>
      <c r="C4" s="4" t="n">
        <v>0.7</v>
      </c>
      <c r="D4" s="4" t="n">
        <v>0.7</v>
      </c>
      <c r="E4" s="4" t="n">
        <v>0.7</v>
      </c>
    </row>
    <row r="5">
      <c r="A5" s="3" t="inlineStr">
        <is>
          <t>头程运费</t>
        </is>
      </c>
      <c r="B5" s="3" t="n">
        <v>3</v>
      </c>
      <c r="C5" s="3" t="n">
        <v>3</v>
      </c>
      <c r="D5" s="3" t="n">
        <v>3</v>
      </c>
      <c r="E5" s="3" t="n">
        <v>3</v>
      </c>
    </row>
    <row r="6">
      <c r="A6" s="2" t="inlineStr">
        <is>
          <t>Amazon佣金(17%)</t>
        </is>
      </c>
      <c r="B6" s="2">
        <f>B2*0.17</f>
        <v/>
      </c>
      <c r="C6" s="2">
        <f>C2*0.17</f>
        <v/>
      </c>
      <c r="D6" s="2">
        <f>D2*0.17</f>
        <v/>
      </c>
      <c r="E6" s="2">
        <f>E2*0.17</f>
        <v/>
      </c>
    </row>
    <row r="7">
      <c r="A7" s="3" t="inlineStr">
        <is>
          <t>FBA配送费</t>
        </is>
      </c>
      <c r="B7" s="3" t="n">
        <v>5.5</v>
      </c>
      <c r="C7" s="3" t="n">
        <v>5.5</v>
      </c>
      <c r="D7" s="3" t="n">
        <v>5.5</v>
      </c>
      <c r="E7" s="3" t="n">
        <v>5.5</v>
      </c>
    </row>
    <row r="8">
      <c r="A8" s="2" t="inlineStr">
        <is>
          <t>月仓储费</t>
        </is>
      </c>
      <c r="B8" s="2" t="n">
        <v>0.87</v>
      </c>
      <c r="C8" s="2" t="n">
        <v>0.87</v>
      </c>
      <c r="D8" s="2" t="n">
        <v>0.87</v>
      </c>
      <c r="E8" s="2" t="n">
        <v>0.87</v>
      </c>
    </row>
    <row r="9">
      <c r="A9" s="3" t="inlineStr">
        <is>
          <t>广告费(CPA)</t>
        </is>
      </c>
      <c r="B9" s="3">
        <f>B2*0.12</f>
        <v/>
      </c>
      <c r="C9" s="3">
        <f>C2*0.12</f>
        <v/>
      </c>
      <c r="D9" s="3">
        <f>D2*0.12</f>
        <v/>
      </c>
      <c r="E9" s="3">
        <f>E2*0.12</f>
        <v/>
      </c>
    </row>
    <row r="10">
      <c r="A10" s="2" t="inlineStr">
        <is>
          <t>退货损失</t>
        </is>
      </c>
      <c r="B10" s="2">
        <f>B2*0.15</f>
        <v/>
      </c>
      <c r="C10" s="2">
        <f>C2*0.15</f>
        <v/>
      </c>
      <c r="D10" s="2">
        <f>D2*0.15</f>
        <v/>
      </c>
      <c r="E10" s="2">
        <f>E2*0.15</f>
        <v/>
      </c>
    </row>
    <row r="11">
      <c r="A11" s="3" t="inlineStr">
        <is>
          <t>总成本</t>
        </is>
      </c>
      <c r="B11" s="3">
        <f>SUM(B3:B10)</f>
        <v/>
      </c>
      <c r="C11" s="3">
        <f>SUM(C3:C10)</f>
        <v/>
      </c>
      <c r="D11" s="3">
        <f>SUM(D3:D10)</f>
        <v/>
      </c>
      <c r="E11" s="3">
        <f>SUM(E3:E10)</f>
        <v/>
      </c>
    </row>
    <row r="12">
      <c r="A12" s="2" t="inlineStr">
        <is>
          <t>毛利润</t>
        </is>
      </c>
      <c r="B12" s="2">
        <f>B2-B11</f>
        <v/>
      </c>
      <c r="C12" s="2">
        <f>C2-C11</f>
        <v/>
      </c>
      <c r="D12" s="2">
        <f>D2-D11</f>
        <v/>
      </c>
      <c r="E12" s="2">
        <f>E2-E11</f>
        <v/>
      </c>
    </row>
    <row r="13">
      <c r="A13" s="3" t="inlineStr">
        <is>
          <t>毛利率</t>
        </is>
      </c>
      <c r="B13" s="5">
        <f>B12/B2</f>
        <v/>
      </c>
      <c r="C13" s="5">
        <f>C12/C2</f>
        <v/>
      </c>
      <c r="D13" s="5">
        <f>D12/D2</f>
        <v/>
      </c>
      <c r="E13" s="5">
        <f>E12/E2</f>
        <v/>
      </c>
    </row>
    <row r="14"/>
    <row r="15">
      <c r="A15" s="6" t="inlineStr">
        <is>
          <t>变体销售明细</t>
        </is>
      </c>
    </row>
    <row r="16">
      <c r="A16" s="1" t="inlineStr">
        <is>
          <t>ASIN</t>
        </is>
      </c>
      <c r="B16" s="1" t="inlineStr">
        <is>
          <t>SKU</t>
        </is>
      </c>
      <c r="C16" s="1" t="inlineStr">
        <is>
          <t>销量</t>
        </is>
      </c>
      <c r="D16" s="1" t="inlineStr">
        <is>
          <t>销售额</t>
        </is>
      </c>
      <c r="E16" s="1" t="inlineStr">
        <is>
          <t>Sessions</t>
        </is>
      </c>
      <c r="F16" s="1" t="inlineStr">
        <is>
          <t>CVR</t>
        </is>
      </c>
      <c r="G16" s="1" t="inlineStr">
        <is>
          <t>平均售价</t>
        </is>
      </c>
    </row>
    <row r="17">
      <c r="A17" s="2" t="inlineStr">
        <is>
          <t>B0014C3W6Y</t>
        </is>
      </c>
      <c r="B17" s="2" t="inlineStr">
        <is>
          <t>(estimated)</t>
        </is>
      </c>
      <c r="C17" s="2" t="n">
        <v>0</v>
      </c>
      <c r="D17" s="7" t="n">
        <v>0</v>
      </c>
      <c r="E17" s="2" t="n">
        <v>0</v>
      </c>
      <c r="F17" s="8" t="n">
        <v>0</v>
      </c>
      <c r="G17" s="7" t="n">
        <v>109.99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关键词</t>
        </is>
      </c>
      <c r="B1" s="1" t="inlineStr">
        <is>
          <t>一级分类</t>
        </is>
      </c>
      <c r="C1" s="1" t="inlineStr">
        <is>
          <t>二级分类</t>
        </is>
      </c>
      <c r="D1" s="1" t="inlineStr">
        <is>
          <t>搜索层级</t>
        </is>
      </c>
      <c r="E1" s="1" t="inlineStr">
        <is>
          <t>用途</t>
        </is>
      </c>
      <c r="F1" s="1" t="inlineStr">
        <is>
          <t>月搜索量</t>
        </is>
      </c>
      <c r="G1" s="1" t="inlineStr">
        <is>
          <t>搜索频率排名</t>
        </is>
      </c>
      <c r="H1" s="1" t="inlineStr">
        <is>
          <t>购买率</t>
        </is>
      </c>
      <c r="I1" s="1" t="inlineStr">
        <is>
          <t>CPA</t>
        </is>
      </c>
      <c r="J1" s="1" t="inlineStr">
        <is>
          <t>CPC</t>
        </is>
      </c>
      <c r="K1" s="1" t="inlineStr">
        <is>
          <t>自然排名</t>
        </is>
      </c>
      <c r="L1" s="1" t="inlineStr">
        <is>
          <t>广告排名</t>
        </is>
      </c>
      <c r="M1" s="1" t="inlineStr">
        <is>
          <t>广告花费</t>
        </is>
      </c>
      <c r="N1" s="1" t="inlineStr">
        <is>
          <t>广告ACoS</t>
        </is>
      </c>
      <c r="O1" s="1" t="inlineStr">
        <is>
          <t>数据来源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关键词</t>
        </is>
      </c>
      <c r="B1" s="1" t="inlineStr">
        <is>
          <t>指标</t>
        </is>
      </c>
      <c r="C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销量</t>
        </is>
      </c>
      <c r="D1" s="1" t="inlineStr">
        <is>
          <t>销售额</t>
        </is>
      </c>
      <c r="E1" s="1" t="inlineStr">
        <is>
          <t>平均售价</t>
        </is>
      </c>
      <c r="F1" s="1" t="inlineStr">
        <is>
          <t>单位成本</t>
        </is>
      </c>
      <c r="G1" s="1" t="inlineStr">
        <is>
          <t>采购占比</t>
        </is>
      </c>
      <c r="H1" s="1" t="inlineStr">
        <is>
          <t>单位头程</t>
        </is>
      </c>
      <c r="I1" s="1" t="inlineStr">
        <is>
          <t>头程占比</t>
        </is>
      </c>
      <c r="J1" s="1" t="inlineStr">
        <is>
          <t>单位配送费</t>
        </is>
      </c>
      <c r="K1" s="1" t="inlineStr">
        <is>
          <t>配送费占比</t>
        </is>
      </c>
      <c r="L1" s="1" t="inlineStr">
        <is>
          <t>类目佣金</t>
        </is>
      </c>
      <c r="M1" s="1" t="inlineStr">
        <is>
          <t>佣金占比</t>
        </is>
      </c>
      <c r="N1" s="1" t="inlineStr">
        <is>
          <t>月仓储费</t>
        </is>
      </c>
      <c r="O1" s="1" t="inlineStr">
        <is>
          <t>月仓储费占比</t>
        </is>
      </c>
      <c r="P1" s="1" t="inlineStr">
        <is>
          <t>广告花费</t>
        </is>
      </c>
      <c r="Q1" s="1" t="inlineStr">
        <is>
          <t>ACoS</t>
        </is>
      </c>
      <c r="R1" s="1" t="inlineStr">
        <is>
          <t>TACoS</t>
        </is>
      </c>
    </row>
    <row r="2">
      <c r="A2" s="2" t="inlineStr">
        <is>
          <t>B0014C3W6Y</t>
        </is>
      </c>
      <c r="B2" s="2" t="inlineStr">
        <is>
          <t>(estimated)</t>
        </is>
      </c>
      <c r="C2" s="2" t="n">
        <v>0</v>
      </c>
      <c r="D2" s="7" t="n">
        <v>0</v>
      </c>
      <c r="E2" s="7" t="n">
        <v>109.99</v>
      </c>
      <c r="F2" s="9" t="n">
        <v>15</v>
      </c>
      <c r="G2" s="8">
        <f>F2/E2</f>
        <v/>
      </c>
      <c r="H2" s="9" t="n">
        <v>3</v>
      </c>
      <c r="I2" s="8">
        <f>H2/E2</f>
        <v/>
      </c>
      <c r="J2" s="7" t="n">
        <v>5.5</v>
      </c>
      <c r="K2" s="8">
        <f>J2/E2</f>
        <v/>
      </c>
      <c r="L2" s="7" t="n">
        <v>18.7</v>
      </c>
      <c r="M2" s="8">
        <f>L2/E2</f>
        <v/>
      </c>
      <c r="N2" s="7" t="n">
        <v>0.87</v>
      </c>
      <c r="O2" s="8">
        <f>N2/E2</f>
        <v/>
      </c>
      <c r="P2" s="7" t="n">
        <v>0</v>
      </c>
      <c r="Q2" s="8" t="n">
        <v>0</v>
      </c>
      <c r="R2" s="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</cols>
  <sheetData>
    <row r="1">
      <c r="A1" s="1" t="inlineStr">
        <is>
          <t>流量入口</t>
        </is>
      </c>
      <c r="B1" s="1" t="inlineStr">
        <is>
          <t>流量来源</t>
        </is>
      </c>
      <c r="C1" s="1" t="inlineStr">
        <is>
          <t>方案</t>
        </is>
      </c>
    </row>
    <row r="2">
      <c r="A2" s="2" t="inlineStr">
        <is>
          <t>自然搜索</t>
        </is>
      </c>
      <c r="B2" s="2" t="inlineStr">
        <is>
          <t>Amazon Search</t>
        </is>
      </c>
      <c r="C2" s="2" t="inlineStr">
        <is>
          <t>核心词: N/A. 优化标题、五点、后台Search Terms. 目标: 核心词进入Top 20.</t>
        </is>
      </c>
    </row>
    <row r="3">
      <c r="A3" s="3" t="inlineStr">
        <is>
          <t>SP广告</t>
        </is>
      </c>
      <c r="B3" s="3" t="inlineStr">
        <is>
          <t>Sponsored Products</t>
        </is>
      </c>
      <c r="C3" s="3" t="inlineStr">
        <is>
          <t>高转化词: N/A. Auto+Exact双投策略, 每日预算$25, 目标ACoS&lt;25%.</t>
        </is>
      </c>
    </row>
    <row r="4">
      <c r="A4" s="2" t="inlineStr">
        <is>
          <t>SB/SBV广告</t>
        </is>
      </c>
      <c r="B4" s="2" t="inlineStr">
        <is>
          <t>Sponsored Brands / Video</t>
        </is>
      </c>
      <c r="C4" s="2" t="inlineStr">
        <is>
          <t>品牌视频广告展示产品特色. 产品类型: product. 目标: 提升品牌知名度, CTR&gt;0.5%.</t>
        </is>
      </c>
    </row>
    <row r="5">
      <c r="A5" s="3" t="inlineStr">
        <is>
          <t>竞品定向</t>
        </is>
      </c>
      <c r="B5" s="3" t="inlineStr">
        <is>
          <t>Product Targeting Ads</t>
        </is>
      </c>
      <c r="C5" s="3" t="inlineStr">
        <is>
          <t>定向竞品ASIN投放. 竞品词: N/A.</t>
        </is>
      </c>
    </row>
    <row r="6">
      <c r="A6" s="2" t="inlineStr">
        <is>
          <t>品牌搜索</t>
        </is>
      </c>
      <c r="B6" s="2" t="inlineStr">
        <is>
          <t>Brand Search</t>
        </is>
      </c>
      <c r="C6" s="2" t="inlineStr">
        <is>
          <t>品牌词: . 确保品牌词搜索占据首位. 建设品牌旗舰店.</t>
        </is>
      </c>
    </row>
    <row r="7">
      <c r="A7" s="3" t="inlineStr">
        <is>
          <t>站外引流</t>
        </is>
      </c>
      <c r="B7" s="3" t="inlineStr">
        <is>
          <t>Social / Influencer</t>
        </is>
      </c>
      <c r="C7" s="3" t="inlineStr">
        <is>
          <t>Instagram/TikTok相关领域博主合作. Pinterest优质图片引流. 产品: product. 目标: 站外流量占比5%+.</t>
        </is>
      </c>
    </row>
    <row r="8">
      <c r="A8" s="2" t="inlineStr">
        <is>
          <t>促销活动</t>
        </is>
      </c>
      <c r="B8" s="2" t="inlineStr">
        <is>
          <t>Deals / Coupons</t>
        </is>
      </c>
      <c r="C8" s="2" t="inlineStr">
        <is>
          <t>设置10-15% Coupon提升转化. Lightning Deal参与Prime Day/黑五. Subscribe &amp; Save暂不适用(非复购品).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关键词</t>
        </is>
      </c>
      <c r="B1" s="1" t="inlineStr">
        <is>
          <t>我方排名</t>
        </is>
      </c>
      <c r="C1" s="1" t="inlineStr">
        <is>
          <t>Competitor排名</t>
        </is>
      </c>
      <c r="D1" s="1" t="inlineStr">
        <is>
          <t>Gap类型</t>
        </is>
      </c>
      <c r="E1" s="1" t="inlineStr">
        <is>
          <t>月搜索量</t>
        </is>
      </c>
      <c r="F1" s="1" t="inlineStr">
        <is>
          <t>购买率</t>
        </is>
      </c>
      <c r="G1" s="1" t="inlineStr">
        <is>
          <t>PPC竞价</t>
        </is>
      </c>
      <c r="H1" s="1" t="inlineStr">
        <is>
          <t>优先级分数</t>
        </is>
      </c>
      <c r="I1" s="1" t="inlineStr">
        <is>
          <t>建议操作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时间戳</t>
        </is>
      </c>
      <c r="B1" s="1" t="inlineStr">
        <is>
          <t>源文件</t>
        </is>
      </c>
      <c r="C1" s="1" t="inlineStr">
        <is>
          <t>源类型</t>
        </is>
      </c>
      <c r="D1" s="1" t="inlineStr">
        <is>
          <t>模块</t>
        </is>
      </c>
      <c r="E1" s="1" t="inlineStr">
        <is>
          <t>记录数</t>
        </is>
      </c>
      <c r="F1" s="1" t="inlineStr">
        <is>
          <t>对应Tab</t>
        </is>
      </c>
      <c r="G1" s="1" t="inlineStr">
        <is>
          <t>数据范围</t>
        </is>
      </c>
      <c r="H1" s="1" t="inlineStr">
        <is>
          <t>数据质量</t>
        </is>
      </c>
      <c r="I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2026-03-22T00:20:13Z</dcterms:created>
  <dcterms:modified xsi:type="dcterms:W3CDTF">2026-03-22T00:20:13Z</dcterms:modified>
</cp:coreProperties>
</file>