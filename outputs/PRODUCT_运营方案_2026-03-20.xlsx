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竞品分析" sheetId="1" state="visible" r:id="rId1"/>
    <sheet name="产品清单" sheetId="2" state="visible" r:id="rId2"/>
    <sheet name="词库整理" sheetId="3" state="visible" r:id="rId3"/>
    <sheet name="广告指标监测" sheetId="4" state="visible" r:id="rId4"/>
    <sheet name="定价策略" sheetId="5" state="visible" r:id="rId5"/>
    <sheet name="流量入口" sheetId="6" state="visible" r:id="rId6"/>
    <sheet name="关键词Gap分析" sheetId="7" state="visible" r:id="rId7"/>
    <sheet name="数据源日志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2C3E50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指标</t>
        </is>
      </c>
      <c r="B1" s="1" t="inlineStr">
        <is>
          <t xml:space="preserve"> (我)</t>
        </is>
      </c>
    </row>
    <row r="2">
      <c r="A2" s="2" t="inlineStr">
        <is>
          <t>图片</t>
        </is>
      </c>
      <c r="B2" s="2" t="inlineStr">
        <is>
          <t>N/A</t>
        </is>
      </c>
    </row>
    <row r="3">
      <c r="A3" s="3" t="inlineStr">
        <is>
          <t>品牌</t>
        </is>
      </c>
      <c r="B3" s="3" t="inlineStr"/>
    </row>
    <row r="4">
      <c r="A4" s="2" t="inlineStr">
        <is>
          <t>ASIN</t>
        </is>
      </c>
      <c r="B4" s="2" t="inlineStr">
        <is>
          <t>B09VPHVT2Z</t>
        </is>
      </c>
    </row>
    <row r="5">
      <c r="A5" s="3" t="inlineStr">
        <is>
          <t>价格</t>
        </is>
      </c>
      <c r="B5" s="3" t="inlineStr">
        <is>
          <t>N/A</t>
        </is>
      </c>
    </row>
    <row r="6">
      <c r="A6" s="2" t="inlineStr">
        <is>
          <t>排名</t>
        </is>
      </c>
      <c r="B6" s="2" t="inlineStr">
        <is>
          <t>N/A</t>
        </is>
      </c>
    </row>
    <row r="7">
      <c r="A7" s="3" t="inlineStr">
        <is>
          <t>标题</t>
        </is>
      </c>
      <c r="B7" s="3" t="inlineStr"/>
    </row>
    <row r="8">
      <c r="A8" s="2" t="inlineStr">
        <is>
          <t>前五核心流量词</t>
        </is>
      </c>
      <c r="B8" s="2" t="inlineStr">
        <is>
          <t>N/A</t>
        </is>
      </c>
    </row>
    <row r="9">
      <c r="A9" s="3" t="inlineStr">
        <is>
          <t>评论数</t>
        </is>
      </c>
      <c r="B9" s="3" t="n">
        <v>0</v>
      </c>
    </row>
    <row r="10">
      <c r="A10" s="2" t="inlineStr">
        <is>
          <t>月销量</t>
        </is>
      </c>
      <c r="B10" s="2" t="inlineStr">
        <is>
          <t>N/A</t>
        </is>
      </c>
    </row>
    <row r="11">
      <c r="A11" s="3" t="inlineStr">
        <is>
          <t>月销售额</t>
        </is>
      </c>
      <c r="B11" s="3" t="inlineStr">
        <is>
          <t>N/A</t>
        </is>
      </c>
    </row>
    <row r="12">
      <c r="A12" s="2" t="inlineStr">
        <is>
          <t>上架日期</t>
        </is>
      </c>
      <c r="B12" s="2" t="inlineStr">
        <is>
          <t>N/A</t>
        </is>
      </c>
    </row>
    <row r="13">
      <c r="A13" s="3" t="inlineStr">
        <is>
          <t>变体数</t>
        </is>
      </c>
      <c r="B13" s="3" t="inlineStr">
        <is>
          <t>N/A</t>
        </is>
      </c>
    </row>
    <row r="14">
      <c r="A14" s="2" t="inlineStr">
        <is>
          <t>FBA毛利率</t>
        </is>
      </c>
      <c r="B14" s="2" t="inlineStr">
        <is>
          <t>N/A</t>
        </is>
      </c>
    </row>
    <row r="15">
      <c r="A15" s="3" t="inlineStr">
        <is>
          <t>流量关键词数</t>
        </is>
      </c>
      <c r="B1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成本项</t>
        </is>
      </c>
      <c r="B1" s="1" t="inlineStr">
        <is>
          <t>竞争价</t>
        </is>
      </c>
      <c r="C1" s="1" t="inlineStr">
        <is>
          <t>中间价</t>
        </is>
      </c>
      <c r="D1" s="1" t="inlineStr">
        <is>
          <t>优质价</t>
        </is>
      </c>
      <c r="E1" s="1" t="inlineStr">
        <is>
          <t>当前价</t>
        </is>
      </c>
    </row>
    <row r="2">
      <c r="A2" s="2" t="inlineStr">
        <is>
          <t>售价</t>
        </is>
      </c>
      <c r="B2" s="2" t="n">
        <v>45.99</v>
      </c>
      <c r="C2" s="2" t="n">
        <v>55.99</v>
      </c>
      <c r="D2" s="2" t="n">
        <v>65.98999999999999</v>
      </c>
      <c r="E2" s="2" t="n">
        <v>109.99</v>
      </c>
    </row>
    <row r="3">
      <c r="A3" s="3" t="inlineStr">
        <is>
          <t>成品成本</t>
        </is>
      </c>
      <c r="B3" s="3" t="n">
        <v>15</v>
      </c>
      <c r="C3" s="3" t="n">
        <v>15</v>
      </c>
      <c r="D3" s="3" t="n">
        <v>15</v>
      </c>
      <c r="E3" s="3" t="n">
        <v>15</v>
      </c>
    </row>
    <row r="4">
      <c r="A4" s="2" t="inlineStr">
        <is>
          <t>包装</t>
        </is>
      </c>
      <c r="B4" s="4" t="n">
        <v>0.7</v>
      </c>
      <c r="C4" s="4" t="n">
        <v>0.7</v>
      </c>
      <c r="D4" s="4" t="n">
        <v>0.7</v>
      </c>
      <c r="E4" s="4" t="n">
        <v>0.7</v>
      </c>
    </row>
    <row r="5">
      <c r="A5" s="3" t="inlineStr">
        <is>
          <t>头程运费</t>
        </is>
      </c>
      <c r="B5" s="3" t="n">
        <v>3</v>
      </c>
      <c r="C5" s="3" t="n">
        <v>3</v>
      </c>
      <c r="D5" s="3" t="n">
        <v>3</v>
      </c>
      <c r="E5" s="3" t="n">
        <v>3</v>
      </c>
    </row>
    <row r="6">
      <c r="A6" s="2" t="inlineStr">
        <is>
          <t>Amazon佣金(17%)</t>
        </is>
      </c>
      <c r="B6" s="2">
        <f>B2*0.17</f>
        <v/>
      </c>
      <c r="C6" s="2">
        <f>C2*0.17</f>
        <v/>
      </c>
      <c r="D6" s="2">
        <f>D2*0.17</f>
        <v/>
      </c>
      <c r="E6" s="2">
        <f>E2*0.17</f>
        <v/>
      </c>
    </row>
    <row r="7">
      <c r="A7" s="3" t="inlineStr">
        <is>
          <t>FBA配送费</t>
        </is>
      </c>
      <c r="B7" s="3" t="n">
        <v>5.5</v>
      </c>
      <c r="C7" s="3" t="n">
        <v>5.5</v>
      </c>
      <c r="D7" s="3" t="n">
        <v>5.5</v>
      </c>
      <c r="E7" s="3" t="n">
        <v>5.5</v>
      </c>
    </row>
    <row r="8">
      <c r="A8" s="2" t="inlineStr">
        <is>
          <t>月仓储费</t>
        </is>
      </c>
      <c r="B8" s="2" t="n">
        <v>0.87</v>
      </c>
      <c r="C8" s="2" t="n">
        <v>0.87</v>
      </c>
      <c r="D8" s="2" t="n">
        <v>0.87</v>
      </c>
      <c r="E8" s="2" t="n">
        <v>0.87</v>
      </c>
    </row>
    <row r="9">
      <c r="A9" s="3" t="inlineStr">
        <is>
          <t>广告费(CPA)</t>
        </is>
      </c>
      <c r="B9" s="3">
        <f>B2*0.12</f>
        <v/>
      </c>
      <c r="C9" s="3">
        <f>C2*0.12</f>
        <v/>
      </c>
      <c r="D9" s="3">
        <f>D2*0.12</f>
        <v/>
      </c>
      <c r="E9" s="3">
        <f>E2*0.12</f>
        <v/>
      </c>
    </row>
    <row r="10">
      <c r="A10" s="2" t="inlineStr">
        <is>
          <t>退货损失</t>
        </is>
      </c>
      <c r="B10" s="2">
        <f>B2*0.15</f>
        <v/>
      </c>
      <c r="C10" s="2">
        <f>C2*0.15</f>
        <v/>
      </c>
      <c r="D10" s="2">
        <f>D2*0.15</f>
        <v/>
      </c>
      <c r="E10" s="2">
        <f>E2*0.15</f>
        <v/>
      </c>
    </row>
    <row r="11">
      <c r="A11" s="3" t="inlineStr">
        <is>
          <t>总成本</t>
        </is>
      </c>
      <c r="B11" s="3">
        <f>SUM(B3:B10)</f>
        <v/>
      </c>
      <c r="C11" s="3">
        <f>SUM(C3:C10)</f>
        <v/>
      </c>
      <c r="D11" s="3">
        <f>SUM(D3:D10)</f>
        <v/>
      </c>
      <c r="E11" s="3">
        <f>SUM(E3:E10)</f>
        <v/>
      </c>
    </row>
    <row r="12">
      <c r="A12" s="2" t="inlineStr">
        <is>
          <t>毛利润</t>
        </is>
      </c>
      <c r="B12" s="2">
        <f>B2-B11</f>
        <v/>
      </c>
      <c r="C12" s="2">
        <f>C2-C11</f>
        <v/>
      </c>
      <c r="D12" s="2">
        <f>D2-D11</f>
        <v/>
      </c>
      <c r="E12" s="2">
        <f>E2-E11</f>
        <v/>
      </c>
    </row>
    <row r="13">
      <c r="A13" s="3" t="inlineStr">
        <is>
          <t>毛利率</t>
        </is>
      </c>
      <c r="B13" s="5">
        <f>B12/B2</f>
        <v/>
      </c>
      <c r="C13" s="5">
        <f>C12/C2</f>
        <v/>
      </c>
      <c r="D13" s="5">
        <f>D12/D2</f>
        <v/>
      </c>
      <c r="E13" s="5">
        <f>E12/E2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关键词</t>
        </is>
      </c>
      <c r="B1" s="1" t="inlineStr">
        <is>
          <t>一级分类</t>
        </is>
      </c>
      <c r="C1" s="1" t="inlineStr">
        <is>
          <t>二级分类</t>
        </is>
      </c>
      <c r="D1" s="1" t="inlineStr">
        <is>
          <t>搜索层级</t>
        </is>
      </c>
      <c r="E1" s="1" t="inlineStr">
        <is>
          <t>用途</t>
        </is>
      </c>
      <c r="F1" s="1" t="inlineStr">
        <is>
          <t>月搜索量</t>
        </is>
      </c>
      <c r="G1" s="1" t="inlineStr">
        <is>
          <t>搜索频率排名</t>
        </is>
      </c>
      <c r="H1" s="1" t="inlineStr">
        <is>
          <t>购买率</t>
        </is>
      </c>
      <c r="I1" s="1" t="inlineStr">
        <is>
          <t>CPA</t>
        </is>
      </c>
      <c r="J1" s="1" t="inlineStr">
        <is>
          <t>CPC</t>
        </is>
      </c>
      <c r="K1" s="1" t="inlineStr">
        <is>
          <t>自然排名</t>
        </is>
      </c>
      <c r="L1" s="1" t="inlineStr">
        <is>
          <t>广告排名</t>
        </is>
      </c>
      <c r="M1" s="1" t="inlineStr">
        <is>
          <t>广告花费</t>
        </is>
      </c>
      <c r="N1" s="1" t="inlineStr">
        <is>
          <t>广告ACoS</t>
        </is>
      </c>
      <c r="O1" s="1" t="inlineStr">
        <is>
          <t>数据来源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E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28" customWidth="1" min="48" max="48"/>
    <col width="28" customWidth="1" min="49" max="49"/>
    <col width="28" customWidth="1" min="50" max="50"/>
    <col width="28" customWidth="1" min="51" max="51"/>
    <col width="28" customWidth="1" min="52" max="52"/>
    <col width="28" customWidth="1" min="53" max="53"/>
    <col width="28" customWidth="1" min="54" max="54"/>
    <col width="28" customWidth="1" min="55" max="55"/>
    <col width="28" customWidth="1" min="56" max="56"/>
    <col width="28" customWidth="1" min="57" max="57"/>
    <col width="28" customWidth="1" min="58" max="58"/>
    <col width="28" customWidth="1" min="59" max="59"/>
    <col width="28" customWidth="1" min="60" max="60"/>
    <col width="28" customWidth="1" min="61" max="61"/>
    <col width="28" customWidth="1" min="62" max="62"/>
    <col width="28" customWidth="1" min="63" max="63"/>
    <col width="28" customWidth="1" min="64" max="64"/>
    <col width="28" customWidth="1" min="65" max="65"/>
    <col width="28" customWidth="1" min="66" max="66"/>
    <col width="28" customWidth="1" min="67" max="67"/>
    <col width="28" customWidth="1" min="68" max="68"/>
    <col width="28" customWidth="1" min="69" max="69"/>
    <col width="28" customWidth="1" min="70" max="70"/>
    <col width="28" customWidth="1" min="71" max="71"/>
    <col width="28" customWidth="1" min="72" max="72"/>
    <col width="28" customWidth="1" min="73" max="73"/>
    <col width="28" customWidth="1" min="74" max="74"/>
    <col width="28" customWidth="1" min="75" max="75"/>
    <col width="28" customWidth="1" min="76" max="76"/>
    <col width="28" customWidth="1" min="77" max="77"/>
    <col width="28" customWidth="1" min="78" max="78"/>
    <col width="28" customWidth="1" min="79" max="79"/>
    <col width="28" customWidth="1" min="80" max="80"/>
    <col width="28" customWidth="1" min="81" max="81"/>
    <col width="28" customWidth="1" min="82" max="82"/>
    <col width="28" customWidth="1" min="83" max="83"/>
  </cols>
  <sheetData>
    <row r="1">
      <c r="A1" s="1" t="inlineStr">
        <is>
          <t>关键词</t>
        </is>
      </c>
      <c r="B1" s="1" t="inlineStr">
        <is>
          <t>指标</t>
        </is>
      </c>
      <c r="C1" s="1" t="inlineStr">
        <is>
          <t>week 01.2025 (01/05~01/11)</t>
        </is>
      </c>
      <c r="D1" s="1" t="inlineStr">
        <is>
          <t>week 02.2025 (01/12~01/18)</t>
        </is>
      </c>
      <c r="E1" s="1" t="inlineStr">
        <is>
          <t>week 03.2025 (01/19~01/25)</t>
        </is>
      </c>
      <c r="F1" s="1" t="inlineStr">
        <is>
          <t>week 04.2025 (01/26~02/01)</t>
        </is>
      </c>
      <c r="G1" s="1" t="inlineStr">
        <is>
          <t>week 05.2025 (02/02~02/08)</t>
        </is>
      </c>
      <c r="H1" s="1" t="inlineStr">
        <is>
          <t>week 06.2025 (02/09~02/15)</t>
        </is>
      </c>
      <c r="I1" s="1" t="inlineStr">
        <is>
          <t>week 07.2025 (02/16~02/22)</t>
        </is>
      </c>
      <c r="J1" s="1" t="inlineStr">
        <is>
          <t>week 08.2025 (02/23~03/01)</t>
        </is>
      </c>
      <c r="K1" s="1" t="inlineStr">
        <is>
          <t>week 09.2025 (03/02~03/08)</t>
        </is>
      </c>
      <c r="L1" s="1" t="inlineStr">
        <is>
          <t>week 10.2025 (03/09~03/15)</t>
        </is>
      </c>
      <c r="M1" s="1" t="inlineStr">
        <is>
          <t>week 11.2025 (03/16~03/22)</t>
        </is>
      </c>
      <c r="N1" s="1" t="inlineStr">
        <is>
          <t>week 12.2025 (03/23~03/29)</t>
        </is>
      </c>
      <c r="O1" s="1" t="inlineStr">
        <is>
          <t>week 13.2024 (03/31~04/06)</t>
        </is>
      </c>
      <c r="P1" s="1" t="inlineStr">
        <is>
          <t>week 13.2025 (03/30~04/05)</t>
        </is>
      </c>
      <c r="Q1" s="1" t="inlineStr">
        <is>
          <t>week 14.2024 (04/07~04/13)</t>
        </is>
      </c>
      <c r="R1" s="1" t="inlineStr">
        <is>
          <t>week 14.2025 (04/06~04/12)</t>
        </is>
      </c>
      <c r="S1" s="1" t="inlineStr">
        <is>
          <t>week 15.2024 (04/14~04/20)</t>
        </is>
      </c>
      <c r="T1" s="1" t="inlineStr">
        <is>
          <t>week 15.2025 (04/13~04/19)</t>
        </is>
      </c>
      <c r="U1" s="1" t="inlineStr">
        <is>
          <t>week 16.2024 (04/21~04/27)</t>
        </is>
      </c>
      <c r="V1" s="1" t="inlineStr">
        <is>
          <t>week 16.2025 (04/20~04/26)</t>
        </is>
      </c>
      <c r="W1" s="1" t="inlineStr">
        <is>
          <t>week 17.2024 (04/28~05/04)</t>
        </is>
      </c>
      <c r="X1" s="1" t="inlineStr">
        <is>
          <t>week 17.2025 (04/27~05/03)</t>
        </is>
      </c>
      <c r="Y1" s="1" t="inlineStr">
        <is>
          <t>week 18.2024 (05/05~05/11)</t>
        </is>
      </c>
      <c r="Z1" s="1" t="inlineStr">
        <is>
          <t>week 18.2025 (05/04~05/10)</t>
        </is>
      </c>
      <c r="AA1" s="1" t="inlineStr">
        <is>
          <t>week 19.2024 (05/12~05/18)</t>
        </is>
      </c>
      <c r="AB1" s="1" t="inlineStr">
        <is>
          <t>week 19.2025 (05/11~05/17)</t>
        </is>
      </c>
      <c r="AC1" s="1" t="inlineStr">
        <is>
          <t>week 20.2024 (05/19~05/25)</t>
        </is>
      </c>
      <c r="AD1" s="1" t="inlineStr">
        <is>
          <t>week 20.2025 (05/18~05/24)</t>
        </is>
      </c>
      <c r="AE1" s="1" t="inlineStr">
        <is>
          <t>week 21.2024 (05/26~06/01)</t>
        </is>
      </c>
      <c r="AF1" s="1" t="inlineStr">
        <is>
          <t>week 21.2025 (05/25~05/31)</t>
        </is>
      </c>
      <c r="AG1" s="1" t="inlineStr">
        <is>
          <t>week 22.2024 (06/02~06/08)</t>
        </is>
      </c>
      <c r="AH1" s="1" t="inlineStr">
        <is>
          <t>week 22.2025 (06/01~06/07)</t>
        </is>
      </c>
      <c r="AI1" s="1" t="inlineStr">
        <is>
          <t>week 23.2024 (06/09~06/15)</t>
        </is>
      </c>
      <c r="AJ1" s="1" t="inlineStr">
        <is>
          <t>week 23.2025 (06/08~06/14)</t>
        </is>
      </c>
      <c r="AK1" s="1" t="inlineStr">
        <is>
          <t>week 24.2024 (06/16~06/22)</t>
        </is>
      </c>
      <c r="AL1" s="1" t="inlineStr">
        <is>
          <t>week 24.2025 (06/15~06/21)</t>
        </is>
      </c>
      <c r="AM1" s="1" t="inlineStr">
        <is>
          <t>week 25.2024 (06/23~06/29)</t>
        </is>
      </c>
      <c r="AN1" s="1" t="inlineStr">
        <is>
          <t>week 25.2025 (06/22~06/28)</t>
        </is>
      </c>
      <c r="AO1" s="1" t="inlineStr">
        <is>
          <t>week 26.2024 (06/30~07/06)</t>
        </is>
      </c>
      <c r="AP1" s="1" t="inlineStr">
        <is>
          <t>week 26.2025 (06/29~07/05)</t>
        </is>
      </c>
      <c r="AQ1" s="1" t="inlineStr">
        <is>
          <t>week 27.2024 (07/07~07/13)</t>
        </is>
      </c>
      <c r="AR1" s="1" t="inlineStr">
        <is>
          <t>week 27.2025 (07/06~07/12)</t>
        </is>
      </c>
      <c r="AS1" s="1" t="inlineStr">
        <is>
          <t>week 28.2024 (07/14~07/20)</t>
        </is>
      </c>
      <c r="AT1" s="1" t="inlineStr">
        <is>
          <t>week 28.2025 (07/13~07/19)</t>
        </is>
      </c>
      <c r="AU1" s="1" t="inlineStr">
        <is>
          <t>week 29.2024 (07/21~07/27)</t>
        </is>
      </c>
      <c r="AV1" s="1" t="inlineStr">
        <is>
          <t>week 29.2025 (07/20~07/26)</t>
        </is>
      </c>
      <c r="AW1" s="1" t="inlineStr">
        <is>
          <t>week 30.2024 (07/28~08/03)</t>
        </is>
      </c>
      <c r="AX1" s="1" t="inlineStr">
        <is>
          <t>week 30.2025 (07/27~08/02)</t>
        </is>
      </c>
      <c r="AY1" s="1" t="inlineStr">
        <is>
          <t>week 31.2024 (08/04~08/10)</t>
        </is>
      </c>
      <c r="AZ1" s="1" t="inlineStr">
        <is>
          <t>week 31.2025 (08/03~08/09)</t>
        </is>
      </c>
      <c r="BA1" s="1" t="inlineStr">
        <is>
          <t>week 32.2024 (08/11~08/17)</t>
        </is>
      </c>
      <c r="BB1" s="1" t="inlineStr">
        <is>
          <t>week 32.2025 (08/10~08/16)</t>
        </is>
      </c>
      <c r="BC1" s="1" t="inlineStr">
        <is>
          <t>week 33.2024 (08/18~08/24)</t>
        </is>
      </c>
      <c r="BD1" s="1" t="inlineStr">
        <is>
          <t>week 33.2025 (08/17~08/23)</t>
        </is>
      </c>
      <c r="BE1" s="1" t="inlineStr">
        <is>
          <t>week 34.2024 (08/25~08/31)</t>
        </is>
      </c>
      <c r="BF1" s="1" t="inlineStr">
        <is>
          <t>week 34.2025 (08/24~08/30)</t>
        </is>
      </c>
      <c r="BG1" s="1" t="inlineStr">
        <is>
          <t>week 35.2024 (09/01~09/07)</t>
        </is>
      </c>
      <c r="BH1" s="1" t="inlineStr">
        <is>
          <t>week 35.2025 (08/31~09/06)</t>
        </is>
      </c>
      <c r="BI1" s="1" t="inlineStr">
        <is>
          <t>week 36.2024 (09/08~09/14)</t>
        </is>
      </c>
      <c r="BJ1" s="1" t="inlineStr">
        <is>
          <t>week 36.2025 (09/07~09/13)</t>
        </is>
      </c>
      <c r="BK1" s="1" t="inlineStr">
        <is>
          <t>week 37.2024 (09/15~09/21)</t>
        </is>
      </c>
      <c r="BL1" s="1" t="inlineStr">
        <is>
          <t>week 37.2025 (09/14~09/20)</t>
        </is>
      </c>
      <c r="BM1" s="1" t="inlineStr">
        <is>
          <t>week 38.2024 (09/22~09/28)</t>
        </is>
      </c>
      <c r="BN1" s="1" t="inlineStr">
        <is>
          <t>week 38.2025 (09/21~09/27)</t>
        </is>
      </c>
      <c r="BO1" s="1" t="inlineStr">
        <is>
          <t>week 39.2024 (09/29~10/05)</t>
        </is>
      </c>
      <c r="BP1" s="1" t="inlineStr">
        <is>
          <t>week 39.2025 (09/28~10/04)</t>
        </is>
      </c>
      <c r="BQ1" s="1" t="inlineStr">
        <is>
          <t>week 40.2024 (10/06~10/12)</t>
        </is>
      </c>
      <c r="BR1" s="1" t="inlineStr">
        <is>
          <t>week 40.2025 (10/05~10/11)</t>
        </is>
      </c>
      <c r="BS1" s="1" t="inlineStr">
        <is>
          <t>week 41.2024 (10/13~10/19)</t>
        </is>
      </c>
      <c r="BT1" s="1" t="inlineStr">
        <is>
          <t>week 41.2025 (10/12~10/18)</t>
        </is>
      </c>
      <c r="BU1" s="1" t="inlineStr">
        <is>
          <t>week 42.2024 (10/20~10/26)</t>
        </is>
      </c>
      <c r="BV1" s="1" t="inlineStr">
        <is>
          <t>week 43.2024 (10/27~11/02)</t>
        </is>
      </c>
      <c r="BW1" s="1" t="inlineStr">
        <is>
          <t>week 44.2024 (11/03~11/09)</t>
        </is>
      </c>
      <c r="BX1" s="1" t="inlineStr">
        <is>
          <t>week 45.2024 (11/10~11/16)</t>
        </is>
      </c>
      <c r="BY1" s="1" t="inlineStr">
        <is>
          <t>week 46.2024 (11/17~11/23)</t>
        </is>
      </c>
      <c r="BZ1" s="1" t="inlineStr">
        <is>
          <t>week 47.2024 (11/24~11/30)</t>
        </is>
      </c>
      <c r="CA1" s="1" t="inlineStr">
        <is>
          <t>week 48.2024 (12/01~12/07)</t>
        </is>
      </c>
      <c r="CB1" s="1" t="inlineStr">
        <is>
          <t>week 49.2024 (12/08~12/14)</t>
        </is>
      </c>
      <c r="CC1" s="1" t="inlineStr">
        <is>
          <t>week 50.2024 (12/15~12/21)</t>
        </is>
      </c>
      <c r="CD1" s="1" t="inlineStr">
        <is>
          <t>week 51.2024 (12/22~12/28)</t>
        </is>
      </c>
      <c r="CE1" s="1" t="inlineStr">
        <is>
          <t>week 52.2024 (12/29~01/04)</t>
        </is>
      </c>
    </row>
    <row r="2">
      <c r="A2" s="2" t="inlineStr">
        <is>
          <t>power bank</t>
        </is>
      </c>
      <c r="B2" s="2" t="inlineStr">
        <is>
          <t>曝光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</row>
    <row r="3">
      <c r="A3" s="3" t="n"/>
      <c r="B3" s="3" t="inlineStr">
        <is>
          <t>点击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  <c r="BY3" s="3" t="n">
        <v>0</v>
      </c>
      <c r="BZ3" s="3" t="n">
        <v>0</v>
      </c>
      <c r="CA3" s="3" t="n">
        <v>0</v>
      </c>
      <c r="CB3" s="3" t="n">
        <v>0</v>
      </c>
      <c r="CC3" s="3" t="n">
        <v>0</v>
      </c>
      <c r="CD3" s="3" t="n">
        <v>0</v>
      </c>
      <c r="CE3" s="3" t="n">
        <v>0</v>
      </c>
    </row>
    <row r="4">
      <c r="A4" s="2" t="n"/>
      <c r="B4" s="2" t="inlineStr">
        <is>
          <t>订单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</row>
    <row r="5">
      <c r="A5" s="3" t="n"/>
      <c r="B5" s="3" t="inlineStr">
        <is>
          <t>位置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  <c r="BY5" s="3" t="n">
        <v>0</v>
      </c>
      <c r="BZ5" s="3" t="n">
        <v>0</v>
      </c>
      <c r="CA5" s="3" t="n">
        <v>0</v>
      </c>
      <c r="CB5" s="3" t="n">
        <v>0</v>
      </c>
      <c r="CC5" s="3" t="n">
        <v>0</v>
      </c>
      <c r="CD5" s="3" t="n">
        <v>0</v>
      </c>
      <c r="CE5" s="3" t="n">
        <v>0</v>
      </c>
    </row>
    <row r="6">
      <c r="A6" s="2" t="inlineStr">
        <is>
          <t>laptop power bank</t>
        </is>
      </c>
      <c r="B6" s="2" t="inlineStr">
        <is>
          <t>曝光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</row>
    <row r="7">
      <c r="A7" s="3" t="n"/>
      <c r="B7" s="3" t="inlineStr">
        <is>
          <t>点击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  <c r="BY7" s="3" t="n">
        <v>0</v>
      </c>
      <c r="BZ7" s="3" t="n">
        <v>0</v>
      </c>
      <c r="CA7" s="3" t="n">
        <v>0</v>
      </c>
      <c r="CB7" s="3" t="n">
        <v>0</v>
      </c>
      <c r="CC7" s="3" t="n">
        <v>0</v>
      </c>
      <c r="CD7" s="3" t="n">
        <v>0</v>
      </c>
      <c r="CE7" s="3" t="n">
        <v>0</v>
      </c>
    </row>
    <row r="8">
      <c r="A8" s="2" t="n"/>
      <c r="B8" s="2" t="inlineStr">
        <is>
          <t>订单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</row>
    <row r="9">
      <c r="A9" s="3" t="n"/>
      <c r="B9" s="3" t="inlineStr">
        <is>
          <t>位置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</row>
    <row r="10">
      <c r="A10" s="2" t="inlineStr">
        <is>
          <t>portable laptop charger</t>
        </is>
      </c>
      <c r="B10" s="2" t="inlineStr">
        <is>
          <t>曝光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</row>
    <row r="11">
      <c r="A11" s="3" t="n"/>
      <c r="B11" s="3" t="inlineStr">
        <is>
          <t>点击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  <c r="BY11" s="3" t="n">
        <v>0</v>
      </c>
      <c r="BZ11" s="3" t="n">
        <v>0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</row>
    <row r="12">
      <c r="A12" s="2" t="n"/>
      <c r="B12" s="2" t="inlineStr">
        <is>
          <t>订单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</row>
    <row r="13">
      <c r="A13" s="3" t="n"/>
      <c r="B13" s="3" t="inlineStr">
        <is>
          <t>位置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  <c r="BY13" s="3" t="n">
        <v>0</v>
      </c>
      <c r="BZ13" s="3" t="n">
        <v>0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</row>
    <row r="14">
      <c r="A14" s="2" t="inlineStr">
        <is>
          <t>portable charger</t>
        </is>
      </c>
      <c r="B14" s="2" t="inlineStr">
        <is>
          <t>曝光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</row>
    <row r="15">
      <c r="A15" s="3" t="n"/>
      <c r="B15" s="3" t="inlineStr">
        <is>
          <t>点击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</row>
    <row r="16">
      <c r="A16" s="2" t="n"/>
      <c r="B16" s="2" t="inlineStr">
        <is>
          <t>订单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</row>
    <row r="17">
      <c r="A17" s="3" t="n"/>
      <c r="B17" s="3" t="inlineStr">
        <is>
          <t>位置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  <c r="BY17" s="3" t="n">
        <v>0</v>
      </c>
      <c r="BZ17" s="3" t="n">
        <v>0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</row>
    <row r="18">
      <c r="A18" s="2" t="inlineStr">
        <is>
          <t>powerbank</t>
        </is>
      </c>
      <c r="B18" s="2" t="inlineStr">
        <is>
          <t>曝光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</row>
    <row r="19">
      <c r="A19" s="3" t="n"/>
      <c r="B19" s="3" t="inlineStr">
        <is>
          <t>点击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  <c r="BY19" s="3" t="n">
        <v>0</v>
      </c>
      <c r="BZ19" s="3" t="n">
        <v>0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</row>
    <row r="20">
      <c r="A20" s="2" t="n"/>
      <c r="B20" s="2" t="inlineStr">
        <is>
          <t>订单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</row>
    <row r="21">
      <c r="A21" s="3" t="n"/>
      <c r="B21" s="3" t="inlineStr">
        <is>
          <t>位置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  <c r="BY21" s="3" t="n">
        <v>0</v>
      </c>
      <c r="BZ21" s="3" t="n">
        <v>0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ASIN</t>
        </is>
      </c>
      <c r="B1" s="1" t="inlineStr">
        <is>
          <t>SKU</t>
        </is>
      </c>
      <c r="C1" s="1" t="inlineStr">
        <is>
          <t>销量</t>
        </is>
      </c>
      <c r="D1" s="1" t="inlineStr">
        <is>
          <t>销售额</t>
        </is>
      </c>
      <c r="E1" s="1" t="inlineStr">
        <is>
          <t>平均售价</t>
        </is>
      </c>
      <c r="F1" s="1" t="inlineStr">
        <is>
          <t>单位成本</t>
        </is>
      </c>
      <c r="G1" s="1" t="inlineStr">
        <is>
          <t>采购占比</t>
        </is>
      </c>
      <c r="H1" s="1" t="inlineStr">
        <is>
          <t>单位头程</t>
        </is>
      </c>
      <c r="I1" s="1" t="inlineStr">
        <is>
          <t>头程占比</t>
        </is>
      </c>
      <c r="J1" s="1" t="inlineStr">
        <is>
          <t>单位配送费</t>
        </is>
      </c>
      <c r="K1" s="1" t="inlineStr">
        <is>
          <t>配送费占比</t>
        </is>
      </c>
      <c r="L1" s="1" t="inlineStr">
        <is>
          <t>类目佣金</t>
        </is>
      </c>
      <c r="M1" s="1" t="inlineStr">
        <is>
          <t>佣金占比</t>
        </is>
      </c>
      <c r="N1" s="1" t="inlineStr">
        <is>
          <t>月仓储费</t>
        </is>
      </c>
      <c r="O1" s="1" t="inlineStr">
        <is>
          <t>月仓储费占比</t>
        </is>
      </c>
      <c r="P1" s="1" t="inlineStr">
        <is>
          <t>广告花费</t>
        </is>
      </c>
      <c r="Q1" s="1" t="inlineStr">
        <is>
          <t>ACoS</t>
        </is>
      </c>
      <c r="R1" s="1" t="inlineStr">
        <is>
          <t>TACoS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5" customWidth="1" min="3" max="3"/>
  </cols>
  <sheetData>
    <row r="1">
      <c r="A1" s="1" t="inlineStr">
        <is>
          <t>流量入口</t>
        </is>
      </c>
      <c r="B1" s="1" t="inlineStr">
        <is>
          <t>流量来源</t>
        </is>
      </c>
      <c r="C1" s="1" t="inlineStr">
        <is>
          <t>方案</t>
        </is>
      </c>
    </row>
    <row r="2">
      <c r="A2" s="2" t="inlineStr">
        <is>
          <t>自然搜索</t>
        </is>
      </c>
      <c r="B2" s="2" t="inlineStr">
        <is>
          <t>Amazon Search</t>
        </is>
      </c>
      <c r="C2" s="2" t="inlineStr">
        <is>
          <t>核心词: N/A. 优化标题、五点、后台Search Terms. 目标: 核心词进入Top 20.</t>
        </is>
      </c>
    </row>
    <row r="3">
      <c r="A3" s="3" t="inlineStr">
        <is>
          <t>SP广告</t>
        </is>
      </c>
      <c r="B3" s="3" t="inlineStr">
        <is>
          <t>Sponsored Products</t>
        </is>
      </c>
      <c r="C3" s="3" t="inlineStr">
        <is>
          <t>高转化词: N/A. Auto+Exact双投策略, 每日预算$25, 目标ACoS&lt;25%.</t>
        </is>
      </c>
    </row>
    <row r="4">
      <c r="A4" s="2" t="inlineStr">
        <is>
          <t>SB/SBV广告</t>
        </is>
      </c>
      <c r="B4" s="2" t="inlineStr">
        <is>
          <t>Sponsored Brands / Video</t>
        </is>
      </c>
      <c r="C4" s="2" t="inlineStr">
        <is>
          <t>品牌视频广告展示产品特色. 产品类型: product. 目标: 提升品牌知名度, CTR&gt;0.5%.</t>
        </is>
      </c>
    </row>
    <row r="5">
      <c r="A5" s="3" t="inlineStr">
        <is>
          <t>竞品定向</t>
        </is>
      </c>
      <c r="B5" s="3" t="inlineStr">
        <is>
          <t>Product Targeting Ads</t>
        </is>
      </c>
      <c r="C5" s="3" t="inlineStr">
        <is>
          <t>定向竞品ASIN投放. 竞品词: N/A.</t>
        </is>
      </c>
    </row>
    <row r="6">
      <c r="A6" s="2" t="inlineStr">
        <is>
          <t>品牌搜索</t>
        </is>
      </c>
      <c r="B6" s="2" t="inlineStr">
        <is>
          <t>Brand Search</t>
        </is>
      </c>
      <c r="C6" s="2" t="inlineStr">
        <is>
          <t>品牌词: . 确保品牌词搜索占据首位. 建设品牌旗舰店.</t>
        </is>
      </c>
    </row>
    <row r="7">
      <c r="A7" s="3" t="inlineStr">
        <is>
          <t>站外引流</t>
        </is>
      </c>
      <c r="B7" s="3" t="inlineStr">
        <is>
          <t>Social / Influencer</t>
        </is>
      </c>
      <c r="C7" s="3" t="inlineStr">
        <is>
          <t>Instagram/TikTok相关领域博主合作. Pinterest优质图片引流. 产品: product. 目标: 站外流量占比5%+.</t>
        </is>
      </c>
    </row>
    <row r="8">
      <c r="A8" s="2" t="inlineStr">
        <is>
          <t>促销活动</t>
        </is>
      </c>
      <c r="B8" s="2" t="inlineStr">
        <is>
          <t>Deals / Coupons</t>
        </is>
      </c>
      <c r="C8" s="2" t="inlineStr">
        <is>
          <t>设置10-15% Coupon提升转化. Lightning Deal参与Prime Day/黑五. Subscribe &amp; Save暂不适用(非复购品).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关键词</t>
        </is>
      </c>
      <c r="B1" s="1" t="inlineStr">
        <is>
          <t>我方排名</t>
        </is>
      </c>
      <c r="C1" s="1" t="inlineStr">
        <is>
          <t>Competitor排名</t>
        </is>
      </c>
      <c r="D1" s="1" t="inlineStr">
        <is>
          <t>Gap类型</t>
        </is>
      </c>
      <c r="E1" s="1" t="inlineStr">
        <is>
          <t>月搜索量</t>
        </is>
      </c>
      <c r="F1" s="1" t="inlineStr">
        <is>
          <t>购买率</t>
        </is>
      </c>
      <c r="G1" s="1" t="inlineStr">
        <is>
          <t>PPC竞价</t>
        </is>
      </c>
      <c r="H1" s="1" t="inlineStr">
        <is>
          <t>优先级分数</t>
        </is>
      </c>
      <c r="I1" s="1" t="inlineStr">
        <is>
          <t>建议操作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14" customWidth="1" min="3" max="3"/>
    <col width="21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时间戳</t>
        </is>
      </c>
      <c r="B1" s="1" t="inlineStr">
        <is>
          <t>源文件</t>
        </is>
      </c>
      <c r="C1" s="1" t="inlineStr">
        <is>
          <t>源类型</t>
        </is>
      </c>
      <c r="D1" s="1" t="inlineStr">
        <is>
          <t>模块</t>
        </is>
      </c>
      <c r="E1" s="1" t="inlineStr">
        <is>
          <t>记录数</t>
        </is>
      </c>
      <c r="F1" s="1" t="inlineStr">
        <is>
          <t>对应Tab</t>
        </is>
      </c>
      <c r="G1" s="1" t="inlineStr">
        <is>
          <t>数据范围</t>
        </is>
      </c>
      <c r="H1" s="1" t="inlineStr">
        <is>
          <t>数据质量</t>
        </is>
      </c>
      <c r="I1" s="1" t="inlineStr">
        <is>
          <t>备注</t>
        </is>
      </c>
    </row>
    <row r="2">
      <c r="A2" s="2" t="inlineStr">
        <is>
          <t>2026-03-20T19:11:40.075065</t>
        </is>
      </c>
      <c r="B2" s="2" t="inlineStr">
        <is>
          <t>AdsInsights-US-B09VPHVT2Z-443478.xlsx</t>
        </is>
      </c>
      <c r="C2" s="2" t="inlineStr">
        <is>
          <t>SellerSprite</t>
        </is>
      </c>
      <c r="D2" s="2" t="inlineStr">
        <is>
          <t>Ads Insights</t>
        </is>
      </c>
      <c r="E2" s="2" t="n">
        <v>2928</v>
      </c>
      <c r="F2" s="2" t="inlineStr">
        <is>
          <t>广告指标监测</t>
        </is>
      </c>
      <c r="G2" s="2" t="inlineStr"/>
      <c r="H2" s="2" t="inlineStr">
        <is>
          <t>OK</t>
        </is>
      </c>
      <c r="I2" s="2" t="inlineStr"/>
    </row>
    <row r="3">
      <c r="A3" s="3" t="inlineStr">
        <is>
          <t>2026-03-20T19:11:41.711607</t>
        </is>
      </c>
      <c r="B3" s="3" t="inlineStr">
        <is>
          <t>Competitor-US-Last-30-days-443241.xlsx</t>
        </is>
      </c>
      <c r="C3" s="3" t="inlineStr">
        <is>
          <t>SellerSprite</t>
        </is>
      </c>
      <c r="D3" s="3" t="inlineStr">
        <is>
          <t>Competitor Research</t>
        </is>
      </c>
      <c r="E3" s="3" t="n">
        <v>3000</v>
      </c>
      <c r="F3" s="3" t="inlineStr">
        <is>
          <t>竞品分析</t>
        </is>
      </c>
      <c r="G3" s="3" t="inlineStr"/>
      <c r="H3" s="3" t="inlineStr">
        <is>
          <t>OK</t>
        </is>
      </c>
      <c r="I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2026-03-20T23:11:41Z</dcterms:created>
  <dcterms:modified xsi:type="dcterms:W3CDTF">2026-03-20T23:11:41Z</dcterms:modified>
</cp:coreProperties>
</file>